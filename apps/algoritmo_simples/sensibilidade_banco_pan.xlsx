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o" sheetId="1" state="visible" r:id="rId3"/>
    <sheet name="Como_rodar_OpenSolver" sheetId="2" state="visible" r:id="rId4"/>
    <sheet name="Relatorio_Sensibilidad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modelagem</author>
  </authors>
  <commentList>
    <comment ref="M26" authorId="0">
      <text>
        <r>
          <rPr>
            <sz val="10"/>
            <rFont val="Arial"/>
            <family val="2"/>
          </rPr>
          <t xml:space="preserve">Celula objetivo do Solver (maximizar)</t>
        </r>
      </text>
    </comment>
  </commentList>
</comments>
</file>

<file path=xl/sharedStrings.xml><?xml version="1.0" encoding="utf-8"?>
<sst xmlns="http://schemas.openxmlformats.org/spreadsheetml/2006/main" count="280" uniqueCount="195">
  <si>
    <t xml:space="preserve">Modelo de Otimizacao de Limites Pre-aprovados - Banco Pan</t>
  </si>
  <si>
    <t xml:space="preserve">Analise de Sensibilidade com Solver / OpenSolver (GLPK) - 10 clusters reais (decis de pd_produto, M1+M2+M3)</t>
  </si>
  <si>
    <t xml:space="preserve">PARAMETROS DO MODELO</t>
  </si>
  <si>
    <t xml:space="preserve">T (meses)</t>
  </si>
  <si>
    <t xml:space="preserve">Horizonte de uso do limite (parceiro)</t>
  </si>
  <si>
    <t xml:space="preserve">u_bar</t>
  </si>
  <si>
    <t xml:space="preserve">Utilizacao esperada do limite</t>
  </si>
  <si>
    <t xml:space="preserve">t (taxa interchange)</t>
  </si>
  <si>
    <t xml:space="preserve">Taxa mensal de interchange</t>
  </si>
  <si>
    <t xml:space="preserve">LGD</t>
  </si>
  <si>
    <t xml:space="preserve">Loss Given Default</t>
  </si>
  <si>
    <t xml:space="preserve">Receita_unit (=T*u_bar*t)</t>
  </si>
  <si>
    <t xml:space="preserve">Calculado</t>
  </si>
  <si>
    <t xml:space="preserve">PD_FIN_MAX (R1)</t>
  </si>
  <si>
    <t xml:space="preserve">Teto media PD bruta ponderada por exposicao</t>
  </si>
  <si>
    <t xml:space="preserve">L_MAX (R3)</t>
  </si>
  <si>
    <t xml:space="preserve">Teto absoluto por cluster (parceiro)</t>
  </si>
  <si>
    <t xml:space="preserve">alpha (R5)</t>
  </si>
  <si>
    <t xml:space="preserve">Concentracao maxima por cluster</t>
  </si>
  <si>
    <t xml:space="preserve">CLUSTERS (decis de pd_produto na base elegivel M1+M2+M3)</t>
  </si>
  <si>
    <t xml:space="preserve">Cluster</t>
  </si>
  <si>
    <t xml:space="preserve">Decil</t>
  </si>
  <si>
    <t xml:space="preserve">n_clientes</t>
  </si>
  <si>
    <t xml:space="preserve">PD media</t>
  </si>
  <si>
    <t xml:space="preserve">Propensao pi</t>
  </si>
  <si>
    <t xml:space="preserve">CP_p5 (R$)</t>
  </si>
  <si>
    <t xml:space="preserve">m_k</t>
  </si>
  <si>
    <t xml:space="preserve">gamma_decil</t>
  </si>
  <si>
    <t xml:space="preserve">c_k unit.</t>
  </si>
  <si>
    <t xml:space="preserve">L_k (R$)</t>
  </si>
  <si>
    <t xml:space="preserve">Receita_k</t>
  </si>
  <si>
    <t xml:space="preserve">Perda_k</t>
  </si>
  <si>
    <t xml:space="preserve">Retorno_k</t>
  </si>
  <si>
    <t xml:space="preserve">n_k * L_k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</si>
  <si>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</si>
  <si>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</si>
  <si>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</si>
  <si>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</si>
  <si>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</si>
  <si>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</si>
  <si>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</si>
  <si>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</si>
  <si>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</si>
  <si>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</si>
  <si>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TOTAL</t>
  </si>
  <si>
    <t xml:space="preserve">FUNCAO OBJETIVO Z = sum(n_k * c_k * L_k)</t>
  </si>
  <si>
    <t xml:space="preserve">&lt;-- Maximizar esta celula (F28)</t>
  </si>
  <si>
    <t xml:space="preserve">RESTRICOES (formulas LHS - configurar como &lt;= ou &gt;= no Solver)</t>
  </si>
  <si>
    <t xml:space="preserve">Restricao</t>
  </si>
  <si>
    <t xml:space="preserve">LHS (formula)</t>
  </si>
  <si>
    <t xml:space="preserve">LHS valor</t>
  </si>
  <si>
    <t xml:space="preserve">Operador</t>
  </si>
  <si>
    <t xml:space="preserve">RHS</t>
  </si>
  <si>
    <t xml:space="preserve">Descricao</t>
  </si>
  <si>
    <t xml:space="preserve">R1: PD financeira ponderada</t>
  </si>
  <si>
    <t xml:space="preserve">&lt;=</t>
  </si>
  <si>
    <t xml:space="preserve">Sum n*(PD-PD_max)*L &lt;= 0  (=&gt;  PD ponderada &lt;= 0.32)</t>
  </si>
  <si>
    <t xml:space="preserve">R2 D1: L_k &lt;= m_k*CP_p5</t>
  </si>
  <si>
    <t xml:space="preserve">Capacidade pagamento alavancada do cluster</t>
  </si>
  <si>
    <t xml:space="preserve">R2 D2: L_k &lt;= m_k*CP_p5</t>
  </si>
  <si>
    <t xml:space="preserve">R2 D3: L_k &lt;= m_k*CP_p5</t>
  </si>
  <si>
    <t xml:space="preserve">R2 D4: L_k &lt;= m_k*CP_p5</t>
  </si>
  <si>
    <t xml:space="preserve">R2 D5: L_k &lt;= m_k*CP_p5</t>
  </si>
  <si>
    <t xml:space="preserve">R2 D6: L_k &lt;= m_k*CP_p5</t>
  </si>
  <si>
    <t xml:space="preserve">R2 D7: L_k &lt;= m_k*CP_p5</t>
  </si>
  <si>
    <t xml:space="preserve">R2 D8: L_k &lt;= m_k*CP_p5</t>
  </si>
  <si>
    <t xml:space="preserve">R2 D9: L_k &lt;= m_k*CP_p5</t>
  </si>
  <si>
    <t xml:space="preserve">R2 D10: L_k &lt;= m_k*CP_p5</t>
  </si>
  <si>
    <t xml:space="preserve">R3 D1: L_k &lt;= L_MAX</t>
  </si>
  <si>
    <t xml:space="preserve">Teto absoluto de limite</t>
  </si>
  <si>
    <t xml:space="preserve">R3 D2: L_k &lt;= L_MAX</t>
  </si>
  <si>
    <t xml:space="preserve">R3 D3: L_k &lt;= L_MAX</t>
  </si>
  <si>
    <t xml:space="preserve">R3 D4: L_k &lt;= L_MAX</t>
  </si>
  <si>
    <t xml:space="preserve">R3 D5: L_k &lt;= L_MAX</t>
  </si>
  <si>
    <t xml:space="preserve">R3 D6: L_k &lt;= L_MAX</t>
  </si>
  <si>
    <t xml:space="preserve">R3 D7: L_k &lt;= L_MAX</t>
  </si>
  <si>
    <t xml:space="preserve">R3 D8: L_k &lt;= L_MAX</t>
  </si>
  <si>
    <t xml:space="preserve">R3 D9: L_k &lt;= L_MAX</t>
  </si>
  <si>
    <t xml:space="preserve">R3 D10: L_k &lt;= L_MAX</t>
  </si>
  <si>
    <t xml:space="preserve">R5 D1: concentracao</t>
  </si>
  <si>
    <t xml:space="preserve">n_k*L_k - alpha*Vol_total &lt;= 0</t>
  </si>
  <si>
    <t xml:space="preserve">R5 D2: concentracao</t>
  </si>
  <si>
    <t xml:space="preserve">R5 D3: concentracao</t>
  </si>
  <si>
    <t xml:space="preserve">R5 D4: concentracao</t>
  </si>
  <si>
    <t xml:space="preserve">R5 D5: concentracao</t>
  </si>
  <si>
    <t xml:space="preserve">R5 D6: concentracao</t>
  </si>
  <si>
    <t xml:space="preserve">R5 D7: concentracao</t>
  </si>
  <si>
    <t xml:space="preserve">R5 D8: concentracao</t>
  </si>
  <si>
    <t xml:space="preserve">R5 D9: concentracao</t>
  </si>
  <si>
    <t xml:space="preserve">R5 D10: concentracao</t>
  </si>
  <si>
    <t xml:space="preserve">Bounds: L_k &gt;= 0</t>
  </si>
  <si>
    <t xml:space="preserve">&gt;=</t>
  </si>
  <si>
    <t xml:space="preserve">Nao-negatividade</t>
  </si>
  <si>
    <t xml:space="preserve">NOTAS:</t>
  </si>
  <si>
    <t xml:space="preserve">1) Celulas em AMARELO sao as variaveis de decisao (L_k) - alteraveis pelo Solver.</t>
  </si>
  <si>
    <t xml:space="preserve">2) Celula objetivo = M26 (Retorno total).</t>
  </si>
  <si>
    <t xml:space="preserve">3) Para rodar no Google Sheets, instale OpenSolver com motor GLPK (ver aba "Como_rodar_OpenSolver").</t>
  </si>
  <si>
    <t xml:space="preserve">4) Apos rodar, peca "Relatorio de Sensibilidade" e compare com a aba "Relatorio_Sensibilidade".</t>
  </si>
  <si>
    <t xml:space="preserve">Como rodar este LP no Google Sheets (OpenSolver + GLPK) ou Excel (Solver)</t>
  </si>
  <si>
    <t xml:space="preserve">Opcao A - GOOGLE SHEETS + OpenSolver</t>
  </si>
  <si>
    <t xml:space="preserve">1. Suba esta planilha para o Google Drive e abra com Google Sheets</t>
  </si>
  <si>
    <t xml:space="preserve">   (File &gt; Open &gt; Upload &gt; arraste sensibilidade_banco_pan.xlsx).</t>
  </si>
  <si>
    <t xml:space="preserve">2. Instale o complemento OpenSolver:</t>
  </si>
  <si>
    <t xml:space="preserve">   Extensions &gt; Add-ons &gt; Get add-ons &gt; pesquise "OpenSolver" &gt; Install.</t>
  </si>
  <si>
    <t xml:space="preserve">   (Conceda permissoes; eh gratuito e open-source).</t>
  </si>
  <si>
    <t xml:space="preserve">3. Abra o painel do OpenSolver:</t>
  </si>
  <si>
    <t xml:space="preserve">   Extensions &gt; OpenSolver &gt; Open OpenSolver Sidebar.</t>
  </si>
  <si>
    <t xml:space="preserve">4. Configure o modelo:</t>
  </si>
  <si>
    <t xml:space="preserve">   - Objective Cell: aponte para a celula M26 da aba "Modelo" (Retorno total).</t>
  </si>
  <si>
    <t xml:space="preserve">   - Optimization Sense: Maximise.</t>
  </si>
  <si>
    <t xml:space="preserve">   - Variable Cells: selecione J16:J25 (coluna L_k dos 10 clusters).</t>
  </si>
  <si>
    <t xml:space="preserve">5. Adicione as restricoes (Add Constraint):</t>
  </si>
  <si>
    <t xml:space="preserve">   - R1 (PD financeira):       B33 &lt;= E33</t>
  </si>
  <si>
    <t xml:space="preserve">   - R2 (CP por cluster):      B34:B43 &lt;= E34:E43</t>
  </si>
  <si>
    <t xml:space="preserve">   - R3 (L_MAX por cluster):   B44:B53 &lt;= E44:E53</t>
  </si>
  <si>
    <t xml:space="preserve">   - R5 (concentracao):        B54:B63 &lt;= E54:E63</t>
  </si>
  <si>
    <t xml:space="preserve">   - Nao-negatividade:         J16:J25 &gt;= 0</t>
  </si>
  <si>
    <t xml:space="preserve">6. Escolha o motor de solver (Solver Engine):</t>
  </si>
  <si>
    <t xml:space="preserve">   GLPK Linear Solver  (eh o solver open-source padrao do OpenSolver).</t>
  </si>
  <si>
    <t xml:space="preserve">7. Em "Show Sensitivity Analysis Report" - marque a opcao.</t>
  </si>
  <si>
    <t xml:space="preserve">   Clique em "Solve". Aguarde alguns segundos.</t>
  </si>
  <si>
    <t xml:space="preserve">8. O OpenSolver criara uma nova aba "Sensitivity Report" no formato exato</t>
  </si>
  <si>
    <t xml:space="preserve">   do Excel Solver, com:</t>
  </si>
  <si>
    <t xml:space="preserve">   - Variable Cells: Final Value, Reduced Cost, Objective Coefficient,</t>
  </si>
  <si>
    <t xml:space="preserve">     Allowable Increase, Allowable Decrease</t>
  </si>
  <si>
    <t xml:space="preserve">   - Constraints: Final Value, Shadow Price, Constraint R.H. Side,</t>
  </si>
  <si>
    <t xml:space="preserve">9. Compare com a aba "Relatorio_Sensibilidade" deste arquivo.</t>
  </si>
  <si>
    <t xml:space="preserve">   Os numeros devem bater (pequenas diferencas numericas sao aceitaveis).</t>
  </si>
  <si>
    <t xml:space="preserve">Opcao B - EXCEL DESKTOP + Solver</t>
  </si>
  <si>
    <t xml:space="preserve">1. Abra a planilha no Excel.</t>
  </si>
  <si>
    <t xml:space="preserve">2. Habilite o Solver: Arquivo &gt; Opcoes &gt; Suplementos &gt; Solver Add-in &gt; OK.</t>
  </si>
  <si>
    <t xml:space="preserve">3. Dados &gt; Solver. Configure igual aos passos 4-5 da Opcao A.</t>
  </si>
  <si>
    <t xml:space="preserve">   - Motor: "Simplex LP" (lineares).</t>
  </si>
  <si>
    <t xml:space="preserve">4. Resolver &gt; Manter solucao do Solver &gt; Marcar "Relatorio de Sensibilidade".</t>
  </si>
  <si>
    <t xml:space="preserve">5. Excel criara uma aba nova com o relatorio.</t>
  </si>
  <si>
    <t xml:space="preserve">Sobre os numeros desta planilha</t>
  </si>
  <si>
    <t xml:space="preserve">- Os 10 clusters foram construidos agregando ~6,7M de clientes elegiveis</t>
  </si>
  <si>
    <t xml:space="preserve">  das 3 safras (M1, M2, M3) por decil de pd_produto.</t>
  </si>
  <si>
    <t xml:space="preserve">- A calibracao gamma_decil vem da analise empirica</t>
  </si>
  <si>
    <t xml:space="preserve">  (artefatos/tabela_gamma_decil.csv), validada em 17.366 observacoes de</t>
  </si>
  <si>
    <t xml:space="preserve">  over30mob3.</t>
  </si>
  <si>
    <t xml:space="preserve">- T=22 meses eh o horizonte de uso do limite informado pelo parceiro.</t>
  </si>
  <si>
    <t xml:space="preserve">- PD_FIN_MAX=0.32 reflete a PD media (headcount) da carteira aprovada.</t>
  </si>
  <si>
    <t xml:space="preserve">- alpha=0.30 eh escolhido para que algumas variaveis fiquem fora da</t>
  </si>
  <si>
    <t xml:space="preserve">  solucao otima (D8, D9, D10) - permitindo demonstracoes de custo</t>
  </si>
  <si>
    <t xml:space="preserve">  reduzido e ilustrando o uso pratico da analise de sensibilidade.</t>
  </si>
  <si>
    <t xml:space="preserve">Relatorio de Sensibilidade ESPERADO (resolvido com HiGHS via scipy)</t>
  </si>
  <si>
    <t xml:space="preserve">Valor Z* = R$ 30,121,656.30</t>
  </si>
  <si>
    <t xml:space="preserve">Volume total = R$ 613,482,709.59</t>
  </si>
  <si>
    <t xml:space="preserve">Parametros: T=22, u=0.75, t=0.0175, LGD=0.8, PD_FIN_MAX=0.32, alpha=0.3</t>
  </si>
  <si>
    <t xml:space="preserve">CELULAS AJUSTAVEIS (Variaveis de decisao L_k)</t>
  </si>
  <si>
    <t xml:space="preserve">Celula</t>
  </si>
  <si>
    <t xml:space="preserve">Valor Final</t>
  </si>
  <si>
    <t xml:space="preserve">Custo Reduzido</t>
  </si>
  <si>
    <t xml:space="preserve">Coef Objetivo (c_k)</t>
  </si>
  <si>
    <t xml:space="preserve">Permissivel Acrescimo</t>
  </si>
  <si>
    <t xml:space="preserve">Permissivel Decrescimo</t>
  </si>
  <si>
    <t xml:space="preserve">Interpretacao</t>
  </si>
  <si>
    <t xml:space="preserve">J16</t>
  </si>
  <si>
    <t xml:space="preserve">Variavel BASICA: oferta este cluster (red.cost = 0)</t>
  </si>
  <si>
    <t xml:space="preserve">J17</t>
  </si>
  <si>
    <t xml:space="preserve">J18</t>
  </si>
  <si>
    <t xml:space="preserve">J19</t>
  </si>
  <si>
    <t xml:space="preserve">J20</t>
  </si>
  <si>
    <t xml:space="preserve">J21</t>
  </si>
  <si>
    <t xml:space="preserve">J22</t>
  </si>
  <si>
    <t xml:space="preserve">J23</t>
  </si>
  <si>
    <t xml:space="preserve">Variavel NAO-BASICA: c_k precisaria subir 0.0192/unid para entrar</t>
  </si>
  <si>
    <t xml:space="preserve">J24</t>
  </si>
  <si>
    <t xml:space="preserve">Variavel NAO-BASICA: c_k precisaria subir 0.0379/unid para entrar</t>
  </si>
  <si>
    <t xml:space="preserve">J25</t>
  </si>
  <si>
    <t xml:space="preserve">Variavel NAO-BASICA: c_k precisaria subir 0.0608/unid para entrar</t>
  </si>
  <si>
    <t xml:space="preserve">RESTRICOES</t>
  </si>
  <si>
    <t xml:space="preserve">Valor Final (LHS)</t>
  </si>
  <si>
    <t xml:space="preserve">Preco Sombra</t>
  </si>
  <si>
    <t xml:space="preserve">Restricao Lateral R.H.</t>
  </si>
  <si>
    <t xml:space="preserve">Status</t>
  </si>
  <si>
    <t xml:space="preserve">R1_PD_fin_max</t>
  </si>
  <si>
    <t xml:space="preserve">ATIVA</t>
  </si>
  <si>
    <t xml:space="preserve">Teto de PD ponderada BINDING - cada 0.01 a mais de tolerancia gera +0/0.01 de Z</t>
  </si>
  <si>
    <t xml:space="preserve">R2_CP_D2</t>
  </si>
  <si>
    <t xml:space="preserve">Capacidade do cluster BINDING - cada R$1 a mais de m_k*CP gera +R$67633 de Z</t>
  </si>
  <si>
    <t xml:space="preserve">R2_CP_D3</t>
  </si>
  <si>
    <t xml:space="preserve">Capacidade do cluster BINDING - cada R$1 a mais de m_k*CP gera +R$63064 de Z</t>
  </si>
  <si>
    <t xml:space="preserve">R2_CP_D4</t>
  </si>
  <si>
    <t xml:space="preserve">Capacidade do cluster BINDING - cada R$1 a mais de m_k*CP gera +R$54333 de Z</t>
  </si>
  <si>
    <t xml:space="preserve">R2_CP_D5</t>
  </si>
  <si>
    <t xml:space="preserve">Capacidade do cluster BINDING - cada R$1 a mais de m_k*CP gera +R$23807 de Z</t>
  </si>
  <si>
    <t xml:space="preserve">R2_CP_D6</t>
  </si>
  <si>
    <t xml:space="preserve">Capacidade do cluster BINDING - cada R$1 a mais de m_k*CP gera +R$13507 de Z</t>
  </si>
  <si>
    <t xml:space="preserve">R5_conc_D1</t>
  </si>
  <si>
    <t xml:space="preserve">Concentracao maxima do cluster D1 BINDING</t>
  </si>
  <si>
    <t xml:space="preserve">R3_Lmax_D1</t>
  </si>
  <si>
    <t xml:space="preserve">infinito</t>
  </si>
  <si>
    <t xml:space="preserve">folgada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</si>
</sst>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000"/>
    <numFmt numFmtId="167" formatCode="0.000000"/>
    <numFmt numFmtId="168" formatCode="#,##0.00"/>
    <numFmt numFmtId="169" formatCode="#,##0.0000"/>
    <numFmt numFmtId="170" formatCode="#,##0.0000;\(#,##0.000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E3A59"/>
        <bgColor rgb="FF333399"/>
      </patternFill>
    </fill>
    <fill>
      <patternFill patternType="solid">
        <fgColor rgb="FF5C7AEA"/>
        <bgColor rgb="FF808080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FBE5D6"/>
      </patternFill>
    </fill>
    <fill>
      <patternFill patternType="solid">
        <fgColor rgb="FFE2F0D9"/>
        <bgColor rgb="FFDEEBF7"/>
      </patternFill>
    </fill>
    <fill>
      <patternFill patternType="solid">
        <fgColor rgb="FFFBE5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8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BE5D6"/>
      <rgbColor rgb="FF5C7AEA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2E3A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7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6" min="5" style="1" width="11"/>
    <col collapsed="false" customWidth="true" hidden="false" outlineLevel="0" max="7" min="7" style="1" width="7"/>
    <col collapsed="false" customWidth="true" hidden="false" outlineLevel="0" max="9" min="8" style="1" width="11"/>
    <col collapsed="false" customWidth="true" hidden="false" outlineLevel="0" max="10" min="10" style="1" width="12"/>
    <col collapsed="false" customWidth="true" hidden="false" outlineLevel="0" max="13" min="11" style="1" width="14"/>
    <col collapsed="false" customWidth="true" hidden="false" outlineLevel="0" max="14" min="14" style="1" width="16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15" hidden="false" customHeight="true" outlineLevel="0" collapsed="false">
      <c r="A4" s="4" t="s">
        <v>2</v>
      </c>
      <c r="B4" s="4"/>
      <c r="C4" s="4"/>
    </row>
    <row r="5" customFormat="false" ht="15" hidden="false" customHeight="true" outlineLevel="0" collapsed="false">
      <c r="A5" s="5" t="s">
        <v>3</v>
      </c>
      <c r="B5" s="6" t="n">
        <v>22</v>
      </c>
      <c r="C5" s="7" t="s">
        <v>4</v>
      </c>
    </row>
    <row r="6" customFormat="false" ht="15" hidden="false" customHeight="true" outlineLevel="0" collapsed="false">
      <c r="A6" s="5" t="s">
        <v>5</v>
      </c>
      <c r="B6" s="8" t="n">
        <v>0.75</v>
      </c>
      <c r="C6" s="7" t="s">
        <v>6</v>
      </c>
    </row>
    <row r="7" customFormat="false" ht="15" hidden="false" customHeight="true" outlineLevel="0" collapsed="false">
      <c r="A7" s="5" t="s">
        <v>7</v>
      </c>
      <c r="B7" s="8" t="n">
        <v>0.0175</v>
      </c>
      <c r="C7" s="7" t="s">
        <v>8</v>
      </c>
    </row>
    <row r="8" customFormat="false" ht="15" hidden="false" customHeight="true" outlineLevel="0" collapsed="false">
      <c r="A8" s="5" t="s">
        <v>9</v>
      </c>
      <c r="B8" s="8" t="n">
        <v>0.8</v>
      </c>
      <c r="C8" s="7" t="s">
        <v>10</v>
      </c>
    </row>
    <row r="9" customFormat="false" ht="15" hidden="false" customHeight="true" outlineLevel="0" collapsed="false">
      <c r="A9" s="5" t="s">
        <v>11</v>
      </c>
      <c r="B9" s="9" t="n">
        <f aca="false">B5*B6*B7</f>
        <v>0.28875</v>
      </c>
      <c r="C9" s="7" t="s">
        <v>12</v>
      </c>
    </row>
    <row r="10" customFormat="false" ht="15" hidden="false" customHeight="true" outlineLevel="0" collapsed="false">
      <c r="A10" s="5" t="s">
        <v>13</v>
      </c>
      <c r="B10" s="8" t="n">
        <v>0.32</v>
      </c>
      <c r="C10" s="7" t="s">
        <v>14</v>
      </c>
    </row>
    <row r="11" customFormat="false" ht="15" hidden="false" customHeight="true" outlineLevel="0" collapsed="false">
      <c r="A11" s="5" t="s">
        <v>15</v>
      </c>
      <c r="B11" s="6" t="n">
        <v>25000</v>
      </c>
      <c r="C11" s="7" t="s">
        <v>16</v>
      </c>
    </row>
    <row r="12" customFormat="false" ht="15" hidden="false" customHeight="true" outlineLevel="0" collapsed="false">
      <c r="A12" s="5" t="s">
        <v>17</v>
      </c>
      <c r="B12" s="8" t="n">
        <v>0.3</v>
      </c>
      <c r="C12" s="7" t="s">
        <v>18</v>
      </c>
    </row>
    <row r="14" customFormat="false" ht="15" hidden="false" customHeight="true" outlineLevel="0" collapsed="false">
      <c r="A14" s="10" t="s">
        <v>19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customFormat="false" ht="15" hidden="false" customHeight="true" outlineLevel="0" collapsed="false">
      <c r="A15" s="11" t="s">
        <v>20</v>
      </c>
      <c r="B15" s="11" t="s">
        <v>21</v>
      </c>
      <c r="C15" s="11" t="s">
        <v>22</v>
      </c>
      <c r="D15" s="11" t="s">
        <v>23</v>
      </c>
      <c r="E15" s="11" t="s">
        <v>24</v>
      </c>
      <c r="F15" s="11" t="s">
        <v>25</v>
      </c>
      <c r="G15" s="11" t="s">
        <v>26</v>
      </c>
      <c r="H15" s="11" t="s">
        <v>27</v>
      </c>
      <c r="I15" s="11" t="s">
        <v>28</v>
      </c>
      <c r="J15" s="11" t="s">
        <v>29</v>
      </c>
      <c r="K15" s="11" t="s">
        <v>30</v>
      </c>
      <c r="L15" s="11" t="s">
        <v>31</v>
      </c>
      <c r="M15" s="11" t="s">
        <v>32</v>
      </c>
      <c r="N15" s="11" t="s">
        <v>33</v>
      </c>
    </row>
    <row r="16" customFormat="false" ht="15" hidden="false" customHeight="true" outlineLevel="0" collapsed="false">
      <c r="A16" s="12" t="n">
        <v>1</v>
      </c>
      <c r="B16" s="12" t="s">
        <v>34</v>
      </c>
      <c r="C16" s="13" t="n">
        <v>712061</v>
      </c>
      <c r="D16" s="14" t="n">
        <v>0.1563</v>
      </c>
      <c r="E16" s="14" t="n">
        <v>0.15799</v>
      </c>
      <c r="F16" s="13" t="n">
        <v>800</v>
      </c>
      <c r="G16" s="14" t="n">
        <v>0.35</v>
      </c>
      <c r="H16" s="14" t="n">
        <v>0.21</v>
      </c>
      <c r="I16" s="15" t="n">
        <f aca="false">E16*($B$9-D16*H16*$B$8)</f>
        <v>0.041471047884</v>
      </c>
      <c r="J16" s="16" t="n">
        <v>0</v>
      </c>
      <c r="K16" s="17" t="n">
        <f aca="false">E16*$B$9*J16</f>
        <v>0</v>
      </c>
      <c r="L16" s="17" t="n">
        <f aca="false">E16*D16*H16*$B$8*J16</f>
        <v>0</v>
      </c>
      <c r="M16" s="18" t="n">
        <f aca="false">C16*I16*J16</f>
        <v>0</v>
      </c>
      <c r="N16" s="17" t="n">
        <f aca="false">C16*J16</f>
        <v>0</v>
      </c>
    </row>
    <row r="17" customFormat="false" ht="15" hidden="false" customHeight="true" outlineLevel="0" collapsed="false">
      <c r="A17" s="12" t="n">
        <v>2</v>
      </c>
      <c r="B17" s="12" t="s">
        <v>35</v>
      </c>
      <c r="C17" s="13" t="n">
        <v>697831</v>
      </c>
      <c r="D17" s="14" t="n">
        <v>0.25428</v>
      </c>
      <c r="E17" s="14" t="n">
        <v>0.21324</v>
      </c>
      <c r="F17" s="13" t="n">
        <v>465</v>
      </c>
      <c r="G17" s="14" t="n">
        <v>0.35</v>
      </c>
      <c r="H17" s="14" t="n">
        <v>0.21</v>
      </c>
      <c r="I17" s="15" t="n">
        <f aca="false">E17*($B$9-D17*H17*$B$8)</f>
        <v>0.0524636419104</v>
      </c>
      <c r="J17" s="16" t="n">
        <v>0</v>
      </c>
      <c r="K17" s="17" t="n">
        <f aca="false">E17*$B$9*J17</f>
        <v>0</v>
      </c>
      <c r="L17" s="17" t="n">
        <f aca="false">E17*D17*H17*$B$8*J17</f>
        <v>0</v>
      </c>
      <c r="M17" s="18" t="n">
        <f aca="false">C17*I17*J17</f>
        <v>0</v>
      </c>
      <c r="N17" s="17" t="n">
        <f aca="false">C17*J17</f>
        <v>0</v>
      </c>
    </row>
    <row r="18" customFormat="false" ht="15" hidden="false" customHeight="true" outlineLevel="0" collapsed="false">
      <c r="A18" s="12" t="n">
        <v>3</v>
      </c>
      <c r="B18" s="12" t="s">
        <v>36</v>
      </c>
      <c r="C18" s="13" t="n">
        <v>727350</v>
      </c>
      <c r="D18" s="14" t="n">
        <v>0.33637</v>
      </c>
      <c r="E18" s="14" t="n">
        <v>0.26038</v>
      </c>
      <c r="F18" s="13" t="n">
        <v>450</v>
      </c>
      <c r="G18" s="14" t="n">
        <v>0.3</v>
      </c>
      <c r="H18" s="14" t="n">
        <v>0.24</v>
      </c>
      <c r="I18" s="15" t="n">
        <f aca="false">E18*($B$9-D18*H18*$B$8)</f>
        <v>0.0583685930448</v>
      </c>
      <c r="J18" s="16" t="n">
        <v>0</v>
      </c>
      <c r="K18" s="17" t="n">
        <f aca="false">E18*$B$9*J18</f>
        <v>0</v>
      </c>
      <c r="L18" s="17" t="n">
        <f aca="false">E18*D18*H18*$B$8*J18</f>
        <v>0</v>
      </c>
      <c r="M18" s="18" t="n">
        <f aca="false">C18*I18*J18</f>
        <v>0</v>
      </c>
      <c r="N18" s="17" t="n">
        <f aca="false">C18*J18</f>
        <v>0</v>
      </c>
    </row>
    <row r="19" customFormat="false" ht="15" hidden="false" customHeight="true" outlineLevel="0" collapsed="false">
      <c r="A19" s="12" t="n">
        <v>4</v>
      </c>
      <c r="B19" s="12" t="s">
        <v>37</v>
      </c>
      <c r="C19" s="13" t="n">
        <v>721773</v>
      </c>
      <c r="D19" s="14" t="n">
        <v>0.4193</v>
      </c>
      <c r="E19" s="14" t="n">
        <v>0.30362</v>
      </c>
      <c r="F19" s="13" t="n">
        <v>442.5</v>
      </c>
      <c r="G19" s="14" t="n">
        <v>0.3</v>
      </c>
      <c r="H19" s="14" t="n">
        <v>0.24</v>
      </c>
      <c r="I19" s="15" t="n">
        <f aca="false">E19*($B$9-D19*H19*$B$8)</f>
        <v>0.063227164728</v>
      </c>
      <c r="J19" s="16" t="n">
        <v>0</v>
      </c>
      <c r="K19" s="17" t="n">
        <f aca="false">E19*$B$9*J19</f>
        <v>0</v>
      </c>
      <c r="L19" s="17" t="n">
        <f aca="false">E19*D19*H19*$B$8*J19</f>
        <v>0</v>
      </c>
      <c r="M19" s="18" t="n">
        <f aca="false">C19*I19*J19</f>
        <v>0</v>
      </c>
      <c r="N19" s="17" t="n">
        <f aca="false">C19*J19</f>
        <v>0</v>
      </c>
    </row>
    <row r="20" customFormat="false" ht="15" hidden="false" customHeight="true" outlineLevel="0" collapsed="false">
      <c r="A20" s="12" t="n">
        <v>5</v>
      </c>
      <c r="B20" s="12" t="s">
        <v>38</v>
      </c>
      <c r="C20" s="13" t="n">
        <v>691648</v>
      </c>
      <c r="D20" s="14" t="n">
        <v>0.5026</v>
      </c>
      <c r="E20" s="14" t="n">
        <v>0.3463</v>
      </c>
      <c r="F20" s="13" t="n">
        <v>427.38</v>
      </c>
      <c r="G20" s="14" t="n">
        <v>0.25</v>
      </c>
      <c r="H20" s="14" t="n">
        <v>0.44</v>
      </c>
      <c r="I20" s="15" t="n">
        <f aca="false">E20*($B$9-D20*H20*$B$8)</f>
        <v>0.03872839124</v>
      </c>
      <c r="J20" s="16" t="n">
        <v>0</v>
      </c>
      <c r="K20" s="17" t="n">
        <f aca="false">E20*$B$9*J20</f>
        <v>0</v>
      </c>
      <c r="L20" s="17" t="n">
        <f aca="false">E20*D20*H20*$B$8*J20</f>
        <v>0</v>
      </c>
      <c r="M20" s="18" t="n">
        <f aca="false">C20*I20*J20</f>
        <v>0</v>
      </c>
      <c r="N20" s="17" t="n">
        <f aca="false">C20*J20</f>
        <v>0</v>
      </c>
    </row>
    <row r="21" customFormat="false" ht="15" hidden="false" customHeight="true" outlineLevel="0" collapsed="false">
      <c r="A21" s="12" t="n">
        <v>6</v>
      </c>
      <c r="B21" s="12" t="s">
        <v>39</v>
      </c>
      <c r="C21" s="13" t="n">
        <v>669559</v>
      </c>
      <c r="D21" s="14" t="n">
        <v>0.58143</v>
      </c>
      <c r="E21" s="14" t="n">
        <v>0.38913</v>
      </c>
      <c r="F21" s="13" t="n">
        <v>250</v>
      </c>
      <c r="G21" s="14" t="n">
        <v>0.25</v>
      </c>
      <c r="H21" s="14" t="n">
        <v>0.4</v>
      </c>
      <c r="I21" s="15" t="n">
        <f aca="false">E21*($B$9-D21*H21*$B$8)</f>
        <v>0.039960693612</v>
      </c>
      <c r="J21" s="16" t="n">
        <v>0</v>
      </c>
      <c r="K21" s="17" t="n">
        <f aca="false">E21*$B$9*J21</f>
        <v>0</v>
      </c>
      <c r="L21" s="17" t="n">
        <f aca="false">E21*D21*H21*$B$8*J21</f>
        <v>0</v>
      </c>
      <c r="M21" s="18" t="n">
        <f aca="false">C21*I21*J21</f>
        <v>0</v>
      </c>
      <c r="N21" s="17" t="n">
        <f aca="false">C21*J21</f>
        <v>0</v>
      </c>
    </row>
    <row r="22" customFormat="false" ht="15" hidden="false" customHeight="true" outlineLevel="0" collapsed="false">
      <c r="A22" s="12" t="n">
        <v>7</v>
      </c>
      <c r="B22" s="12" t="s">
        <v>40</v>
      </c>
      <c r="C22" s="13" t="n">
        <v>666282</v>
      </c>
      <c r="D22" s="14" t="n">
        <v>0.65314</v>
      </c>
      <c r="E22" s="14" t="n">
        <v>0.42472</v>
      </c>
      <c r="F22" s="13" t="n">
        <v>150</v>
      </c>
      <c r="G22" s="14" t="n">
        <v>0.25</v>
      </c>
      <c r="H22" s="14" t="n">
        <v>0.4</v>
      </c>
      <c r="I22" s="15" t="n">
        <f aca="false">E22*($B$9-D22*H22*$B$8)</f>
        <v>0.033869381344</v>
      </c>
      <c r="J22" s="16" t="n">
        <v>0</v>
      </c>
      <c r="K22" s="17" t="n">
        <f aca="false">E22*$B$9*J22</f>
        <v>0</v>
      </c>
      <c r="L22" s="17" t="n">
        <f aca="false">E22*D22*H22*$B$8*J22</f>
        <v>0</v>
      </c>
      <c r="M22" s="18" t="n">
        <f aca="false">C22*I22*J22</f>
        <v>0</v>
      </c>
      <c r="N22" s="17" t="n">
        <f aca="false">C22*J22</f>
        <v>0</v>
      </c>
    </row>
    <row r="23" customFormat="false" ht="15" hidden="false" customHeight="true" outlineLevel="0" collapsed="false">
      <c r="A23" s="12" t="n">
        <v>8</v>
      </c>
      <c r="B23" s="12" t="s">
        <v>41</v>
      </c>
      <c r="C23" s="13" t="n">
        <v>640559</v>
      </c>
      <c r="D23" s="14" t="n">
        <v>0.71637</v>
      </c>
      <c r="E23" s="14" t="n">
        <v>0.45483</v>
      </c>
      <c r="F23" s="13" t="n">
        <v>125</v>
      </c>
      <c r="G23" s="14" t="n">
        <v>0.25</v>
      </c>
      <c r="H23" s="14" t="n">
        <v>0.4</v>
      </c>
      <c r="I23" s="15" t="n">
        <f aca="false">E23*($B$9-D23*H23*$B$8)</f>
        <v>0.027067661028</v>
      </c>
      <c r="J23" s="16" t="n">
        <v>0</v>
      </c>
      <c r="K23" s="17" t="n">
        <f aca="false">E23*$B$9*J23</f>
        <v>0</v>
      </c>
      <c r="L23" s="17" t="n">
        <f aca="false">E23*D23*H23*$B$8*J23</f>
        <v>0</v>
      </c>
      <c r="M23" s="18" t="n">
        <f aca="false">C23*I23*J23</f>
        <v>0</v>
      </c>
      <c r="N23" s="17" t="n">
        <f aca="false">C23*J23</f>
        <v>0</v>
      </c>
    </row>
    <row r="24" customFormat="false" ht="15" hidden="false" customHeight="true" outlineLevel="0" collapsed="false">
      <c r="A24" s="12" t="n">
        <v>9</v>
      </c>
      <c r="B24" s="12" t="s">
        <v>42</v>
      </c>
      <c r="C24" s="13" t="n">
        <v>639486</v>
      </c>
      <c r="D24" s="14" t="n">
        <v>0.774</v>
      </c>
      <c r="E24" s="14" t="n">
        <v>0.47867</v>
      </c>
      <c r="F24" s="13" t="n">
        <v>100</v>
      </c>
      <c r="G24" s="14" t="n">
        <v>0.2</v>
      </c>
      <c r="H24" s="14" t="n">
        <v>0.4</v>
      </c>
      <c r="I24" s="15" t="n">
        <f aca="false">E24*($B$9-D24*H24*$B$8)</f>
        <v>0.0196589769</v>
      </c>
      <c r="J24" s="16" t="n">
        <v>0</v>
      </c>
      <c r="K24" s="17" t="n">
        <f aca="false">E24*$B$9*J24</f>
        <v>0</v>
      </c>
      <c r="L24" s="17" t="n">
        <f aca="false">E24*D24*H24*$B$8*J24</f>
        <v>0</v>
      </c>
      <c r="M24" s="18" t="n">
        <f aca="false">C24*I24*J24</f>
        <v>0</v>
      </c>
      <c r="N24" s="17" t="n">
        <f aca="false">C24*J24</f>
        <v>0</v>
      </c>
    </row>
    <row r="25" customFormat="false" ht="15" hidden="false" customHeight="true" outlineLevel="0" collapsed="false">
      <c r="A25" s="12" t="n">
        <v>10</v>
      </c>
      <c r="B25" s="12" t="s">
        <v>43</v>
      </c>
      <c r="C25" s="13" t="n">
        <v>612068</v>
      </c>
      <c r="D25" s="14" t="n">
        <v>0.84045</v>
      </c>
      <c r="E25" s="14" t="n">
        <v>0.49844</v>
      </c>
      <c r="F25" s="13" t="n">
        <v>75</v>
      </c>
      <c r="G25" s="14" t="n">
        <v>0.2</v>
      </c>
      <c r="H25" s="14" t="n">
        <v>0.4</v>
      </c>
      <c r="I25" s="15" t="n">
        <f aca="false">E25*($B$9-D25*H25*$B$8)</f>
        <v>0.00987210264</v>
      </c>
      <c r="J25" s="16" t="n">
        <v>0</v>
      </c>
      <c r="K25" s="17" t="n">
        <f aca="false">E25*$B$9*J25</f>
        <v>0</v>
      </c>
      <c r="L25" s="17" t="n">
        <f aca="false">E25*D25*H25*$B$8*J25</f>
        <v>0</v>
      </c>
      <c r="M25" s="18" t="n">
        <f aca="false">C25*I25*J25</f>
        <v>0</v>
      </c>
      <c r="N25" s="17" t="n">
        <f aca="false">C25*J25</f>
        <v>0</v>
      </c>
    </row>
    <row r="26" customFormat="false" ht="15" hidden="false" customHeight="true" outlineLevel="0" collapsed="false">
      <c r="A26" s="19" t="s">
        <v>44</v>
      </c>
      <c r="K26" s="20" t="n">
        <f aca="false">SUM(K16:K25)</f>
        <v>0</v>
      </c>
      <c r="L26" s="20" t="n">
        <f aca="false">SUM(L16:L25)</f>
        <v>0</v>
      </c>
      <c r="M26" s="20" t="n">
        <f aca="false">SUM(M16:M25)</f>
        <v>0</v>
      </c>
      <c r="N26" s="20" t="n">
        <f aca="false">SUM(N16:N25)</f>
        <v>0</v>
      </c>
    </row>
    <row r="28" customFormat="false" ht="15" hidden="false" customHeight="true" outlineLevel="0" collapsed="false">
      <c r="A28" s="10" t="s">
        <v>45</v>
      </c>
      <c r="B28" s="10"/>
      <c r="C28" s="10"/>
      <c r="D28" s="10"/>
      <c r="E28" s="21" t="n">
        <f aca="false">M26</f>
        <v>0</v>
      </c>
      <c r="F28" s="22" t="s">
        <v>46</v>
      </c>
    </row>
    <row r="31" customFormat="false" ht="15" hidden="false" customHeight="true" outlineLevel="0" collapsed="false">
      <c r="A31" s="10" t="s">
        <v>47</v>
      </c>
      <c r="B31" s="10"/>
      <c r="C31" s="10"/>
      <c r="D31" s="10"/>
      <c r="E31" s="10"/>
      <c r="F31" s="10"/>
      <c r="G31" s="10"/>
      <c r="H31" s="10"/>
    </row>
    <row r="32" customFormat="false" ht="15" hidden="false" customHeight="true" outlineLevel="0" collapsed="false">
      <c r="A32" s="23" t="s">
        <v>48</v>
      </c>
      <c r="B32" s="23" t="s">
        <v>49</v>
      </c>
      <c r="C32" s="23" t="s">
        <v>50</v>
      </c>
      <c r="D32" s="23" t="s">
        <v>51</v>
      </c>
      <c r="E32" s="23" t="s">
        <v>52</v>
      </c>
      <c r="F32" s="23" t="s">
        <v>53</v>
      </c>
    </row>
    <row r="33" customFormat="false" ht="15" hidden="false" customHeight="true" outlineLevel="0" collapsed="false">
      <c r="A33" s="24" t="s">
        <v>54</v>
      </c>
      <c r="B33" s="24" t="n">
        <f aca="false">SUMPRODUCT(C16:C25,(D16:D25-$B$10),J16:J25)</f>
        <v>0</v>
      </c>
      <c r="C33" s="25" t="n">
        <f aca="false">B33</f>
        <v>0</v>
      </c>
      <c r="D33" s="26" t="s">
        <v>55</v>
      </c>
      <c r="E33" s="25" t="n">
        <v>0</v>
      </c>
      <c r="F33" s="24" t="s">
        <v>56</v>
      </c>
    </row>
    <row r="34" customFormat="false" ht="15" hidden="false" customHeight="true" outlineLevel="0" collapsed="false">
      <c r="A34" s="24" t="s">
        <v>57</v>
      </c>
      <c r="B34" s="27" t="n">
        <f aca="false">J16</f>
        <v>0</v>
      </c>
      <c r="C34" s="25" t="n">
        <f aca="false">B34</f>
        <v>0</v>
      </c>
      <c r="D34" s="26" t="s">
        <v>55</v>
      </c>
      <c r="E34" s="25" t="n">
        <f aca="false">G16*F16</f>
        <v>280</v>
      </c>
      <c r="F34" s="24" t="s">
        <v>58</v>
      </c>
    </row>
    <row r="35" customFormat="false" ht="15" hidden="false" customHeight="true" outlineLevel="0" collapsed="false">
      <c r="A35" s="24" t="s">
        <v>59</v>
      </c>
      <c r="B35" s="27" t="n">
        <f aca="false">J17</f>
        <v>0</v>
      </c>
      <c r="C35" s="25" t="n">
        <f aca="false">B35</f>
        <v>0</v>
      </c>
      <c r="D35" s="26" t="s">
        <v>55</v>
      </c>
      <c r="E35" s="25" t="n">
        <f aca="false">G17*F17</f>
        <v>162.75</v>
      </c>
      <c r="F35" s="24" t="s">
        <v>58</v>
      </c>
    </row>
    <row r="36" customFormat="false" ht="15" hidden="false" customHeight="true" outlineLevel="0" collapsed="false">
      <c r="A36" s="24" t="s">
        <v>60</v>
      </c>
      <c r="B36" s="27" t="n">
        <f aca="false">J18</f>
        <v>0</v>
      </c>
      <c r="C36" s="25" t="n">
        <f aca="false">B36</f>
        <v>0</v>
      </c>
      <c r="D36" s="26" t="s">
        <v>55</v>
      </c>
      <c r="E36" s="25" t="n">
        <f aca="false">G18*F18</f>
        <v>135</v>
      </c>
      <c r="F36" s="24" t="s">
        <v>58</v>
      </c>
    </row>
    <row r="37" customFormat="false" ht="15" hidden="false" customHeight="true" outlineLevel="0" collapsed="false">
      <c r="A37" s="24" t="s">
        <v>61</v>
      </c>
      <c r="B37" s="27" t="n">
        <f aca="false">J19</f>
        <v>0</v>
      </c>
      <c r="C37" s="25" t="n">
        <f aca="false">B37</f>
        <v>0</v>
      </c>
      <c r="D37" s="26" t="s">
        <v>55</v>
      </c>
      <c r="E37" s="25" t="n">
        <f aca="false">G19*F19</f>
        <v>132.75</v>
      </c>
      <c r="F37" s="24" t="s">
        <v>58</v>
      </c>
    </row>
    <row r="38" customFormat="false" ht="15" hidden="false" customHeight="true" outlineLevel="0" collapsed="false">
      <c r="A38" s="24" t="s">
        <v>62</v>
      </c>
      <c r="B38" s="27" t="n">
        <f aca="false">J20</f>
        <v>0</v>
      </c>
      <c r="C38" s="25" t="n">
        <f aca="false">B38</f>
        <v>0</v>
      </c>
      <c r="D38" s="26" t="s">
        <v>55</v>
      </c>
      <c r="E38" s="25" t="n">
        <f aca="false">G20*F20</f>
        <v>106.845</v>
      </c>
      <c r="F38" s="24" t="s">
        <v>58</v>
      </c>
    </row>
    <row r="39" customFormat="false" ht="15" hidden="false" customHeight="true" outlineLevel="0" collapsed="false">
      <c r="A39" s="24" t="s">
        <v>63</v>
      </c>
      <c r="B39" s="27" t="n">
        <f aca="false">J21</f>
        <v>0</v>
      </c>
      <c r="C39" s="25" t="n">
        <f aca="false">B39</f>
        <v>0</v>
      </c>
      <c r="D39" s="26" t="s">
        <v>55</v>
      </c>
      <c r="E39" s="25" t="n">
        <f aca="false">G21*F21</f>
        <v>62.5</v>
      </c>
      <c r="F39" s="24" t="s">
        <v>58</v>
      </c>
    </row>
    <row r="40" customFormat="false" ht="15" hidden="false" customHeight="true" outlineLevel="0" collapsed="false">
      <c r="A40" s="24" t="s">
        <v>64</v>
      </c>
      <c r="B40" s="27" t="n">
        <f aca="false">J22</f>
        <v>0</v>
      </c>
      <c r="C40" s="25" t="n">
        <f aca="false">B40</f>
        <v>0</v>
      </c>
      <c r="D40" s="26" t="s">
        <v>55</v>
      </c>
      <c r="E40" s="25" t="n">
        <f aca="false">G22*F22</f>
        <v>37.5</v>
      </c>
      <c r="F40" s="24" t="s">
        <v>58</v>
      </c>
    </row>
    <row r="41" customFormat="false" ht="15" hidden="false" customHeight="true" outlineLevel="0" collapsed="false">
      <c r="A41" s="24" t="s">
        <v>65</v>
      </c>
      <c r="B41" s="27" t="n">
        <f aca="false">J23</f>
        <v>0</v>
      </c>
      <c r="C41" s="25" t="n">
        <f aca="false">B41</f>
        <v>0</v>
      </c>
      <c r="D41" s="26" t="s">
        <v>55</v>
      </c>
      <c r="E41" s="25" t="n">
        <f aca="false">G23*F23</f>
        <v>31.25</v>
      </c>
      <c r="F41" s="24" t="s">
        <v>58</v>
      </c>
    </row>
    <row r="42" customFormat="false" ht="15" hidden="false" customHeight="true" outlineLevel="0" collapsed="false">
      <c r="A42" s="24" t="s">
        <v>66</v>
      </c>
      <c r="B42" s="27" t="n">
        <f aca="false">J24</f>
        <v>0</v>
      </c>
      <c r="C42" s="25" t="n">
        <f aca="false">B42</f>
        <v>0</v>
      </c>
      <c r="D42" s="26" t="s">
        <v>55</v>
      </c>
      <c r="E42" s="25" t="n">
        <f aca="false">G24*F24</f>
        <v>20</v>
      </c>
      <c r="F42" s="24" t="s">
        <v>58</v>
      </c>
    </row>
    <row r="43" customFormat="false" ht="15" hidden="false" customHeight="true" outlineLevel="0" collapsed="false">
      <c r="A43" s="24" t="s">
        <v>67</v>
      </c>
      <c r="B43" s="27" t="n">
        <f aca="false">J25</f>
        <v>0</v>
      </c>
      <c r="C43" s="25" t="n">
        <f aca="false">B43</f>
        <v>0</v>
      </c>
      <c r="D43" s="26" t="s">
        <v>55</v>
      </c>
      <c r="E43" s="25" t="n">
        <f aca="false">G25*F25</f>
        <v>15</v>
      </c>
      <c r="F43" s="24" t="s">
        <v>58</v>
      </c>
    </row>
    <row r="44" customFormat="false" ht="15" hidden="false" customHeight="true" outlineLevel="0" collapsed="false">
      <c r="A44" s="24" t="s">
        <v>68</v>
      </c>
      <c r="B44" s="27" t="n">
        <f aca="false">J16</f>
        <v>0</v>
      </c>
      <c r="C44" s="25" t="n">
        <f aca="false">B44</f>
        <v>0</v>
      </c>
      <c r="D44" s="26" t="s">
        <v>55</v>
      </c>
      <c r="E44" s="25" t="n">
        <f aca="false">$B$11</f>
        <v>25000</v>
      </c>
      <c r="F44" s="24" t="s">
        <v>69</v>
      </c>
    </row>
    <row r="45" customFormat="false" ht="15" hidden="false" customHeight="true" outlineLevel="0" collapsed="false">
      <c r="A45" s="24" t="s">
        <v>70</v>
      </c>
      <c r="B45" s="27" t="n">
        <f aca="false">J17</f>
        <v>0</v>
      </c>
      <c r="C45" s="25" t="n">
        <f aca="false">B45</f>
        <v>0</v>
      </c>
      <c r="D45" s="26" t="s">
        <v>55</v>
      </c>
      <c r="E45" s="25" t="n">
        <f aca="false">$B$11</f>
        <v>25000</v>
      </c>
      <c r="F45" s="24" t="s">
        <v>69</v>
      </c>
    </row>
    <row r="46" customFormat="false" ht="15" hidden="false" customHeight="true" outlineLevel="0" collapsed="false">
      <c r="A46" s="24" t="s">
        <v>71</v>
      </c>
      <c r="B46" s="27" t="n">
        <f aca="false">J18</f>
        <v>0</v>
      </c>
      <c r="C46" s="25" t="n">
        <f aca="false">B46</f>
        <v>0</v>
      </c>
      <c r="D46" s="26" t="s">
        <v>55</v>
      </c>
      <c r="E46" s="25" t="n">
        <f aca="false">$B$11</f>
        <v>25000</v>
      </c>
      <c r="F46" s="24" t="s">
        <v>69</v>
      </c>
    </row>
    <row r="47" customFormat="false" ht="15" hidden="false" customHeight="true" outlineLevel="0" collapsed="false">
      <c r="A47" s="24" t="s">
        <v>72</v>
      </c>
      <c r="B47" s="27" t="n">
        <f aca="false">J19</f>
        <v>0</v>
      </c>
      <c r="C47" s="25" t="n">
        <f aca="false">B47</f>
        <v>0</v>
      </c>
      <c r="D47" s="26" t="s">
        <v>55</v>
      </c>
      <c r="E47" s="25" t="n">
        <f aca="false">$B$11</f>
        <v>25000</v>
      </c>
      <c r="F47" s="24" t="s">
        <v>69</v>
      </c>
    </row>
    <row r="48" customFormat="false" ht="15" hidden="false" customHeight="true" outlineLevel="0" collapsed="false">
      <c r="A48" s="24" t="s">
        <v>73</v>
      </c>
      <c r="B48" s="27" t="n">
        <f aca="false">J20</f>
        <v>0</v>
      </c>
      <c r="C48" s="25" t="n">
        <f aca="false">B48</f>
        <v>0</v>
      </c>
      <c r="D48" s="26" t="s">
        <v>55</v>
      </c>
      <c r="E48" s="25" t="n">
        <f aca="false">$B$11</f>
        <v>25000</v>
      </c>
      <c r="F48" s="24" t="s">
        <v>69</v>
      </c>
    </row>
    <row r="49" customFormat="false" ht="15" hidden="false" customHeight="true" outlineLevel="0" collapsed="false">
      <c r="A49" s="24" t="s">
        <v>74</v>
      </c>
      <c r="B49" s="27" t="n">
        <f aca="false">J21</f>
        <v>0</v>
      </c>
      <c r="C49" s="25" t="n">
        <f aca="false">B49</f>
        <v>0</v>
      </c>
      <c r="D49" s="26" t="s">
        <v>55</v>
      </c>
      <c r="E49" s="25" t="n">
        <f aca="false">$B$11</f>
        <v>25000</v>
      </c>
      <c r="F49" s="24" t="s">
        <v>69</v>
      </c>
    </row>
    <row r="50" customFormat="false" ht="15" hidden="false" customHeight="true" outlineLevel="0" collapsed="false">
      <c r="A50" s="24" t="s">
        <v>75</v>
      </c>
      <c r="B50" s="27" t="n">
        <f aca="false">J22</f>
        <v>0</v>
      </c>
      <c r="C50" s="25" t="n">
        <f aca="false">B50</f>
        <v>0</v>
      </c>
      <c r="D50" s="26" t="s">
        <v>55</v>
      </c>
      <c r="E50" s="25" t="n">
        <f aca="false">$B$11</f>
        <v>25000</v>
      </c>
      <c r="F50" s="24" t="s">
        <v>69</v>
      </c>
    </row>
    <row r="51" customFormat="false" ht="15" hidden="false" customHeight="true" outlineLevel="0" collapsed="false">
      <c r="A51" s="24" t="s">
        <v>76</v>
      </c>
      <c r="B51" s="27" t="n">
        <f aca="false">J23</f>
        <v>0</v>
      </c>
      <c r="C51" s="25" t="n">
        <f aca="false">B51</f>
        <v>0</v>
      </c>
      <c r="D51" s="26" t="s">
        <v>55</v>
      </c>
      <c r="E51" s="25" t="n">
        <f aca="false">$B$11</f>
        <v>25000</v>
      </c>
      <c r="F51" s="24" t="s">
        <v>69</v>
      </c>
    </row>
    <row r="52" customFormat="false" ht="15" hidden="false" customHeight="true" outlineLevel="0" collapsed="false">
      <c r="A52" s="24" t="s">
        <v>77</v>
      </c>
      <c r="B52" s="27" t="n">
        <f aca="false">J24</f>
        <v>0</v>
      </c>
      <c r="C52" s="25" t="n">
        <f aca="false">B52</f>
        <v>0</v>
      </c>
      <c r="D52" s="26" t="s">
        <v>55</v>
      </c>
      <c r="E52" s="25" t="n">
        <f aca="false">$B$11</f>
        <v>25000</v>
      </c>
      <c r="F52" s="24" t="s">
        <v>69</v>
      </c>
    </row>
    <row r="53" customFormat="false" ht="15" hidden="false" customHeight="true" outlineLevel="0" collapsed="false">
      <c r="A53" s="24" t="s">
        <v>78</v>
      </c>
      <c r="B53" s="27" t="n">
        <f aca="false">J25</f>
        <v>0</v>
      </c>
      <c r="C53" s="25" t="n">
        <f aca="false">B53</f>
        <v>0</v>
      </c>
      <c r="D53" s="26" t="s">
        <v>55</v>
      </c>
      <c r="E53" s="25" t="n">
        <f aca="false">$B$11</f>
        <v>25000</v>
      </c>
      <c r="F53" s="24" t="s">
        <v>69</v>
      </c>
    </row>
    <row r="54" customFormat="false" ht="15" hidden="false" customHeight="true" outlineLevel="0" collapsed="false">
      <c r="A54" s="24" t="s">
        <v>79</v>
      </c>
      <c r="B54" s="24" t="n">
        <f aca="false">N16-$B$12*N$26</f>
        <v>0</v>
      </c>
      <c r="C54" s="25" t="n">
        <f aca="false">B54</f>
        <v>0</v>
      </c>
      <c r="D54" s="26" t="s">
        <v>55</v>
      </c>
      <c r="E54" s="25" t="n">
        <v>0</v>
      </c>
      <c r="F54" s="24" t="s">
        <v>80</v>
      </c>
    </row>
    <row r="55" customFormat="false" ht="15" hidden="false" customHeight="true" outlineLevel="0" collapsed="false">
      <c r="A55" s="24" t="s">
        <v>81</v>
      </c>
      <c r="B55" s="24" t="n">
        <f aca="false">N17-$B$12*N$26</f>
        <v>0</v>
      </c>
      <c r="C55" s="25" t="n">
        <f aca="false">B55</f>
        <v>0</v>
      </c>
      <c r="D55" s="26" t="s">
        <v>55</v>
      </c>
      <c r="E55" s="25" t="n">
        <v>0</v>
      </c>
      <c r="F55" s="24" t="s">
        <v>80</v>
      </c>
    </row>
    <row r="56" customFormat="false" ht="15" hidden="false" customHeight="true" outlineLevel="0" collapsed="false">
      <c r="A56" s="24" t="s">
        <v>82</v>
      </c>
      <c r="B56" s="24" t="n">
        <f aca="false">N18-$B$12*N$26</f>
        <v>0</v>
      </c>
      <c r="C56" s="25" t="n">
        <f aca="false">B56</f>
        <v>0</v>
      </c>
      <c r="D56" s="26" t="s">
        <v>55</v>
      </c>
      <c r="E56" s="25" t="n">
        <v>0</v>
      </c>
      <c r="F56" s="24" t="s">
        <v>80</v>
      </c>
    </row>
    <row r="57" customFormat="false" ht="15" hidden="false" customHeight="true" outlineLevel="0" collapsed="false">
      <c r="A57" s="24" t="s">
        <v>83</v>
      </c>
      <c r="B57" s="24" t="n">
        <f aca="false">N19-$B$12*N$26</f>
        <v>0</v>
      </c>
      <c r="C57" s="25" t="n">
        <f aca="false">B57</f>
        <v>0</v>
      </c>
      <c r="D57" s="26" t="s">
        <v>55</v>
      </c>
      <c r="E57" s="25" t="n">
        <v>0</v>
      </c>
      <c r="F57" s="24" t="s">
        <v>80</v>
      </c>
    </row>
    <row r="58" customFormat="false" ht="15" hidden="false" customHeight="true" outlineLevel="0" collapsed="false">
      <c r="A58" s="24" t="s">
        <v>84</v>
      </c>
      <c r="B58" s="24" t="n">
        <f aca="false">N20-$B$12*N$26</f>
        <v>0</v>
      </c>
      <c r="C58" s="25" t="n">
        <f aca="false">B58</f>
        <v>0</v>
      </c>
      <c r="D58" s="26" t="s">
        <v>55</v>
      </c>
      <c r="E58" s="25" t="n">
        <v>0</v>
      </c>
      <c r="F58" s="24" t="s">
        <v>80</v>
      </c>
    </row>
    <row r="59" customFormat="false" ht="15" hidden="false" customHeight="true" outlineLevel="0" collapsed="false">
      <c r="A59" s="24" t="s">
        <v>85</v>
      </c>
      <c r="B59" s="24" t="n">
        <f aca="false">N21-$B$12*N$26</f>
        <v>0</v>
      </c>
      <c r="C59" s="25" t="n">
        <f aca="false">B59</f>
        <v>0</v>
      </c>
      <c r="D59" s="26" t="s">
        <v>55</v>
      </c>
      <c r="E59" s="25" t="n">
        <v>0</v>
      </c>
      <c r="F59" s="24" t="s">
        <v>80</v>
      </c>
    </row>
    <row r="60" customFormat="false" ht="15" hidden="false" customHeight="true" outlineLevel="0" collapsed="false">
      <c r="A60" s="24" t="s">
        <v>86</v>
      </c>
      <c r="B60" s="24" t="n">
        <f aca="false">N22-$B$12*N$26</f>
        <v>0</v>
      </c>
      <c r="C60" s="25" t="n">
        <f aca="false">B60</f>
        <v>0</v>
      </c>
      <c r="D60" s="26" t="s">
        <v>55</v>
      </c>
      <c r="E60" s="25" t="n">
        <v>0</v>
      </c>
      <c r="F60" s="24" t="s">
        <v>80</v>
      </c>
    </row>
    <row r="61" customFormat="false" ht="15" hidden="false" customHeight="true" outlineLevel="0" collapsed="false">
      <c r="A61" s="24" t="s">
        <v>87</v>
      </c>
      <c r="B61" s="24" t="n">
        <f aca="false">N23-$B$12*N$26</f>
        <v>0</v>
      </c>
      <c r="C61" s="25" t="n">
        <f aca="false">B61</f>
        <v>0</v>
      </c>
      <c r="D61" s="26" t="s">
        <v>55</v>
      </c>
      <c r="E61" s="25" t="n">
        <v>0</v>
      </c>
      <c r="F61" s="24" t="s">
        <v>80</v>
      </c>
    </row>
    <row r="62" customFormat="false" ht="15" hidden="false" customHeight="true" outlineLevel="0" collapsed="false">
      <c r="A62" s="24" t="s">
        <v>88</v>
      </c>
      <c r="B62" s="24" t="n">
        <f aca="false">N24-$B$12*N$26</f>
        <v>0</v>
      </c>
      <c r="C62" s="25" t="n">
        <f aca="false">B62</f>
        <v>0</v>
      </c>
      <c r="D62" s="26" t="s">
        <v>55</v>
      </c>
      <c r="E62" s="25" t="n">
        <v>0</v>
      </c>
      <c r="F62" s="24" t="s">
        <v>80</v>
      </c>
    </row>
    <row r="63" customFormat="false" ht="15" hidden="false" customHeight="true" outlineLevel="0" collapsed="false">
      <c r="A63" s="24" t="s">
        <v>89</v>
      </c>
      <c r="B63" s="24" t="n">
        <f aca="false">N25-$B$12*N$26</f>
        <v>0</v>
      </c>
      <c r="C63" s="25" t="n">
        <f aca="false">B63</f>
        <v>0</v>
      </c>
      <c r="D63" s="26" t="s">
        <v>55</v>
      </c>
      <c r="E63" s="25" t="n">
        <v>0</v>
      </c>
      <c r="F63" s="24" t="s">
        <v>80</v>
      </c>
    </row>
    <row r="64" customFormat="false" ht="15" hidden="false" customHeight="true" outlineLevel="0" collapsed="false">
      <c r="A64" s="24" t="s">
        <v>90</v>
      </c>
      <c r="B64" s="24" t="n">
        <f aca="false">MIN(J16:J25)</f>
        <v>0</v>
      </c>
      <c r="C64" s="25" t="n">
        <f aca="false">B64</f>
        <v>0</v>
      </c>
      <c r="D64" s="26" t="s">
        <v>91</v>
      </c>
      <c r="E64" s="25" t="n">
        <v>0</v>
      </c>
      <c r="F64" s="24" t="s">
        <v>92</v>
      </c>
    </row>
    <row r="66" customFormat="false" ht="15" hidden="false" customHeight="true" outlineLevel="0" collapsed="false">
      <c r="A66" s="28" t="s">
        <v>93</v>
      </c>
    </row>
    <row r="67" customFormat="false" ht="15" hidden="false" customHeight="true" outlineLevel="0" collapsed="false">
      <c r="A67" s="1" t="s">
        <v>94</v>
      </c>
    </row>
    <row r="68" customFormat="false" ht="15" hidden="false" customHeight="true" outlineLevel="0" collapsed="false">
      <c r="A68" s="1" t="s">
        <v>95</v>
      </c>
    </row>
    <row r="69" customFormat="false" ht="15" hidden="false" customHeight="true" outlineLevel="0" collapsed="false">
      <c r="A69" s="1" t="s">
        <v>96</v>
      </c>
    </row>
    <row r="70" customFormat="false" ht="15" hidden="false" customHeight="true" outlineLevel="0" collapsed="false">
      <c r="A70" s="1" t="s">
        <v>97</v>
      </c>
    </row>
  </sheetData>
  <mergeCells count="6">
    <mergeCell ref="A1:N1"/>
    <mergeCell ref="A2:N2"/>
    <mergeCell ref="A4:C4"/>
    <mergeCell ref="A14:N14"/>
    <mergeCell ref="A28:D28"/>
    <mergeCell ref="A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0"/>
  </cols>
  <sheetData>
    <row r="1" customFormat="false" ht="24" hidden="false" customHeight="true" outlineLevel="0" collapsed="false">
      <c r="A1" s="29" t="s">
        <v>98</v>
      </c>
    </row>
    <row r="2" customFormat="false" ht="15" hidden="false" customHeight="true" outlineLevel="0" collapsed="false">
      <c r="A2" s="30"/>
    </row>
    <row r="3" customFormat="false" ht="15" hidden="false" customHeight="true" outlineLevel="0" collapsed="false">
      <c r="A3" s="31" t="s">
        <v>99</v>
      </c>
    </row>
    <row r="4" customFormat="false" ht="15" hidden="false" customHeight="true" outlineLevel="0" collapsed="false">
      <c r="A4" s="30"/>
    </row>
    <row r="5" customFormat="false" ht="15" hidden="false" customHeight="true" outlineLevel="0" collapsed="false">
      <c r="A5" s="28" t="s">
        <v>100</v>
      </c>
    </row>
    <row r="6" customFormat="false" ht="15" hidden="false" customHeight="true" outlineLevel="0" collapsed="false">
      <c r="A6" s="30" t="s">
        <v>101</v>
      </c>
    </row>
    <row r="7" customFormat="false" ht="15" hidden="false" customHeight="true" outlineLevel="0" collapsed="false">
      <c r="A7" s="30"/>
    </row>
    <row r="8" customFormat="false" ht="15" hidden="false" customHeight="true" outlineLevel="0" collapsed="false">
      <c r="A8" s="28" t="s">
        <v>102</v>
      </c>
    </row>
    <row r="9" customFormat="false" ht="15" hidden="false" customHeight="true" outlineLevel="0" collapsed="false">
      <c r="A9" s="30" t="s">
        <v>103</v>
      </c>
    </row>
    <row r="10" customFormat="false" ht="15" hidden="false" customHeight="true" outlineLevel="0" collapsed="false">
      <c r="A10" s="30" t="s">
        <v>104</v>
      </c>
    </row>
    <row r="11" customFormat="false" ht="15" hidden="false" customHeight="true" outlineLevel="0" collapsed="false">
      <c r="A11" s="30"/>
    </row>
    <row r="12" customFormat="false" ht="15" hidden="false" customHeight="true" outlineLevel="0" collapsed="false">
      <c r="A12" s="28" t="s">
        <v>105</v>
      </c>
    </row>
    <row r="13" customFormat="false" ht="15" hidden="false" customHeight="true" outlineLevel="0" collapsed="false">
      <c r="A13" s="30" t="s">
        <v>106</v>
      </c>
    </row>
    <row r="14" customFormat="false" ht="15" hidden="false" customHeight="true" outlineLevel="0" collapsed="false">
      <c r="A14" s="30"/>
    </row>
    <row r="15" customFormat="false" ht="15" hidden="false" customHeight="true" outlineLevel="0" collapsed="false">
      <c r="A15" s="28" t="s">
        <v>107</v>
      </c>
    </row>
    <row r="16" customFormat="false" ht="15" hidden="false" customHeight="true" outlineLevel="0" collapsed="false">
      <c r="A16" s="30" t="s">
        <v>108</v>
      </c>
    </row>
    <row r="17" customFormat="false" ht="15" hidden="false" customHeight="true" outlineLevel="0" collapsed="false">
      <c r="A17" s="30" t="s">
        <v>109</v>
      </c>
    </row>
    <row r="18" customFormat="false" ht="15" hidden="false" customHeight="true" outlineLevel="0" collapsed="false">
      <c r="A18" s="30" t="s">
        <v>110</v>
      </c>
    </row>
    <row r="19" customFormat="false" ht="15" hidden="false" customHeight="true" outlineLevel="0" collapsed="false">
      <c r="A19" s="30"/>
    </row>
    <row r="20" customFormat="false" ht="15" hidden="false" customHeight="true" outlineLevel="0" collapsed="false">
      <c r="A20" s="28" t="s">
        <v>111</v>
      </c>
    </row>
    <row r="21" customFormat="false" ht="15" hidden="false" customHeight="true" outlineLevel="0" collapsed="false">
      <c r="A21" s="30" t="s">
        <v>112</v>
      </c>
    </row>
    <row r="22" customFormat="false" ht="15" hidden="false" customHeight="true" outlineLevel="0" collapsed="false">
      <c r="A22" s="30" t="s">
        <v>113</v>
      </c>
    </row>
    <row r="23" customFormat="false" ht="15" hidden="false" customHeight="true" outlineLevel="0" collapsed="false">
      <c r="A23" s="30" t="s">
        <v>114</v>
      </c>
    </row>
    <row r="24" customFormat="false" ht="15" hidden="false" customHeight="true" outlineLevel="0" collapsed="false">
      <c r="A24" s="30" t="s">
        <v>115</v>
      </c>
    </row>
    <row r="25" customFormat="false" ht="15" hidden="false" customHeight="true" outlineLevel="0" collapsed="false">
      <c r="A25" s="30" t="s">
        <v>116</v>
      </c>
    </row>
    <row r="26" customFormat="false" ht="15" hidden="false" customHeight="true" outlineLevel="0" collapsed="false">
      <c r="A26" s="30"/>
    </row>
    <row r="27" customFormat="false" ht="15" hidden="false" customHeight="true" outlineLevel="0" collapsed="false">
      <c r="A27" s="28" t="s">
        <v>117</v>
      </c>
    </row>
    <row r="28" customFormat="false" ht="15" hidden="false" customHeight="true" outlineLevel="0" collapsed="false">
      <c r="A28" s="30" t="s">
        <v>118</v>
      </c>
    </row>
    <row r="29" customFormat="false" ht="15" hidden="false" customHeight="true" outlineLevel="0" collapsed="false">
      <c r="A29" s="30"/>
    </row>
    <row r="30" customFormat="false" ht="15" hidden="false" customHeight="true" outlineLevel="0" collapsed="false">
      <c r="A30" s="28" t="s">
        <v>119</v>
      </c>
    </row>
    <row r="31" customFormat="false" ht="15" hidden="false" customHeight="true" outlineLevel="0" collapsed="false">
      <c r="A31" s="30" t="s">
        <v>120</v>
      </c>
    </row>
    <row r="32" customFormat="false" ht="15" hidden="false" customHeight="true" outlineLevel="0" collapsed="false">
      <c r="A32" s="30"/>
    </row>
    <row r="33" customFormat="false" ht="15" hidden="false" customHeight="true" outlineLevel="0" collapsed="false">
      <c r="A33" s="28" t="s">
        <v>121</v>
      </c>
    </row>
    <row r="34" customFormat="false" ht="15" hidden="false" customHeight="true" outlineLevel="0" collapsed="false">
      <c r="A34" s="30" t="s">
        <v>122</v>
      </c>
    </row>
    <row r="35" customFormat="false" ht="15" hidden="false" customHeight="true" outlineLevel="0" collapsed="false">
      <c r="A35" s="30" t="s">
        <v>123</v>
      </c>
    </row>
    <row r="36" customFormat="false" ht="15" hidden="false" customHeight="true" outlineLevel="0" collapsed="false">
      <c r="A36" s="30" t="s">
        <v>124</v>
      </c>
    </row>
    <row r="37" customFormat="false" ht="15" hidden="false" customHeight="true" outlineLevel="0" collapsed="false">
      <c r="A37" s="30" t="s">
        <v>125</v>
      </c>
    </row>
    <row r="38" customFormat="false" ht="15" hidden="false" customHeight="true" outlineLevel="0" collapsed="false">
      <c r="A38" s="30" t="s">
        <v>124</v>
      </c>
    </row>
    <row r="39" customFormat="false" ht="15" hidden="false" customHeight="true" outlineLevel="0" collapsed="false">
      <c r="A39" s="30"/>
    </row>
    <row r="40" customFormat="false" ht="15" hidden="false" customHeight="true" outlineLevel="0" collapsed="false">
      <c r="A40" s="28" t="s">
        <v>126</v>
      </c>
    </row>
    <row r="41" customFormat="false" ht="15" hidden="false" customHeight="true" outlineLevel="0" collapsed="false">
      <c r="A41" s="30" t="s">
        <v>127</v>
      </c>
    </row>
    <row r="42" customFormat="false" ht="15" hidden="false" customHeight="true" outlineLevel="0" collapsed="false">
      <c r="A42" s="30"/>
    </row>
    <row r="43" customFormat="false" ht="15" hidden="false" customHeight="true" outlineLevel="0" collapsed="false">
      <c r="A43" s="30"/>
    </row>
    <row r="44" customFormat="false" ht="15" hidden="false" customHeight="true" outlineLevel="0" collapsed="false">
      <c r="A44" s="31" t="s">
        <v>128</v>
      </c>
    </row>
    <row r="45" customFormat="false" ht="15" hidden="false" customHeight="true" outlineLevel="0" collapsed="false">
      <c r="A45" s="30"/>
    </row>
    <row r="46" customFormat="false" ht="15" hidden="false" customHeight="true" outlineLevel="0" collapsed="false">
      <c r="A46" s="28" t="s">
        <v>129</v>
      </c>
    </row>
    <row r="47" customFormat="false" ht="15" hidden="false" customHeight="true" outlineLevel="0" collapsed="false">
      <c r="A47" s="28" t="s">
        <v>130</v>
      </c>
    </row>
    <row r="48" customFormat="false" ht="15" hidden="false" customHeight="true" outlineLevel="0" collapsed="false">
      <c r="A48" s="28" t="s">
        <v>131</v>
      </c>
    </row>
    <row r="49" customFormat="false" ht="15" hidden="false" customHeight="true" outlineLevel="0" collapsed="false">
      <c r="A49" s="30" t="s">
        <v>132</v>
      </c>
    </row>
    <row r="50" customFormat="false" ht="15" hidden="false" customHeight="true" outlineLevel="0" collapsed="false">
      <c r="A50" s="28" t="s">
        <v>133</v>
      </c>
    </row>
    <row r="51" customFormat="false" ht="15" hidden="false" customHeight="true" outlineLevel="0" collapsed="false">
      <c r="A51" s="28" t="s">
        <v>134</v>
      </c>
    </row>
    <row r="52" customFormat="false" ht="15" hidden="false" customHeight="true" outlineLevel="0" collapsed="false">
      <c r="A52" s="30"/>
    </row>
    <row r="53" customFormat="false" ht="15" hidden="false" customHeight="true" outlineLevel="0" collapsed="false">
      <c r="A53" s="30"/>
    </row>
    <row r="54" customFormat="false" ht="15" hidden="false" customHeight="true" outlineLevel="0" collapsed="false">
      <c r="A54" s="31" t="s">
        <v>135</v>
      </c>
    </row>
    <row r="55" customFormat="false" ht="15" hidden="false" customHeight="true" outlineLevel="0" collapsed="false">
      <c r="A55" s="30"/>
    </row>
    <row r="56" customFormat="false" ht="15" hidden="false" customHeight="true" outlineLevel="0" collapsed="false">
      <c r="A56" s="30" t="s">
        <v>136</v>
      </c>
    </row>
    <row r="57" customFormat="false" ht="15" hidden="false" customHeight="true" outlineLevel="0" collapsed="false">
      <c r="A57" s="30" t="s">
        <v>137</v>
      </c>
    </row>
    <row r="58" customFormat="false" ht="15" hidden="false" customHeight="true" outlineLevel="0" collapsed="false">
      <c r="A58" s="30" t="s">
        <v>138</v>
      </c>
    </row>
    <row r="59" customFormat="false" ht="15" hidden="false" customHeight="true" outlineLevel="0" collapsed="false">
      <c r="A59" s="30" t="s">
        <v>139</v>
      </c>
    </row>
    <row r="60" customFormat="false" ht="15" hidden="false" customHeight="true" outlineLevel="0" collapsed="false">
      <c r="A60" s="30" t="s">
        <v>140</v>
      </c>
    </row>
    <row r="61" customFormat="false" ht="15" hidden="false" customHeight="true" outlineLevel="0" collapsed="false">
      <c r="A61" s="30" t="s">
        <v>141</v>
      </c>
    </row>
    <row r="62" customFormat="false" ht="15" hidden="false" customHeight="true" outlineLevel="0" collapsed="false">
      <c r="A62" s="30" t="s">
        <v>142</v>
      </c>
    </row>
    <row r="63" customFormat="false" ht="15" hidden="false" customHeight="true" outlineLevel="0" collapsed="false">
      <c r="A63" s="30" t="s">
        <v>143</v>
      </c>
    </row>
    <row r="64" customFormat="false" ht="15" hidden="false" customHeight="true" outlineLevel="0" collapsed="false">
      <c r="A64" s="30" t="s">
        <v>144</v>
      </c>
    </row>
    <row r="65" customFormat="false" ht="15" hidden="false" customHeight="true" outlineLevel="0" collapsed="false">
      <c r="A65" s="30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8"/>
    <col collapsed="false" customWidth="true" hidden="false" outlineLevel="0" max="6" min="4" style="1" width="22"/>
    <col collapsed="false" customWidth="true" hidden="false" outlineLevel="0" max="7" min="7" style="1" width="12"/>
    <col collapsed="false" customWidth="true" hidden="false" outlineLevel="0" max="8" min="8" style="1" width="65"/>
  </cols>
  <sheetData>
    <row r="1" customFormat="false" ht="24" hidden="false" customHeight="true" outlineLevel="0" collapsed="false">
      <c r="A1" s="2" t="s">
        <v>146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28" t="s">
        <v>147</v>
      </c>
    </row>
    <row r="4" customFormat="false" ht="15" hidden="false" customHeight="true" outlineLevel="0" collapsed="false">
      <c r="A4" s="1" t="s">
        <v>148</v>
      </c>
    </row>
    <row r="5" customFormat="false" ht="15" hidden="false" customHeight="true" outlineLevel="0" collapsed="false">
      <c r="A5" s="1" t="s">
        <v>149</v>
      </c>
    </row>
    <row r="7" customFormat="false" ht="15" hidden="false" customHeight="true" outlineLevel="0" collapsed="false">
      <c r="A7" s="10" t="s">
        <v>150</v>
      </c>
      <c r="B7" s="10"/>
      <c r="C7" s="10"/>
      <c r="D7" s="10"/>
      <c r="E7" s="10"/>
      <c r="F7" s="10"/>
      <c r="G7" s="10"/>
      <c r="H7" s="10"/>
    </row>
    <row r="8" customFormat="false" ht="15" hidden="false" customHeight="true" outlineLevel="0" collapsed="false">
      <c r="A8" s="32" t="s">
        <v>151</v>
      </c>
      <c r="B8" s="32" t="s">
        <v>20</v>
      </c>
      <c r="C8" s="32" t="s">
        <v>152</v>
      </c>
      <c r="D8" s="32" t="s">
        <v>153</v>
      </c>
      <c r="E8" s="32" t="s">
        <v>154</v>
      </c>
      <c r="F8" s="32" t="s">
        <v>155</v>
      </c>
      <c r="G8" s="32" t="s">
        <v>156</v>
      </c>
      <c r="H8" s="32" t="s">
        <v>157</v>
      </c>
    </row>
    <row r="9" customFormat="false" ht="15" hidden="false" customHeight="true" outlineLevel="0" collapsed="false">
      <c r="A9" s="24" t="s">
        <v>158</v>
      </c>
      <c r="B9" s="24" t="s">
        <v>34</v>
      </c>
      <c r="C9" s="27" t="n">
        <v>258.467761717346</v>
      </c>
      <c r="D9" s="33" t="n">
        <v>0</v>
      </c>
      <c r="E9" s="34" t="n">
        <v>0.041471047884</v>
      </c>
      <c r="F9" s="35" t="n">
        <v>0.41471047884</v>
      </c>
      <c r="G9" s="35" t="n">
        <v>0.0581139539474814</v>
      </c>
      <c r="H9" s="24" t="s">
        <v>159</v>
      </c>
    </row>
    <row r="10" customFormat="false" ht="15" hidden="false" customHeight="true" outlineLevel="0" collapsed="false">
      <c r="A10" s="24" t="s">
        <v>160</v>
      </c>
      <c r="B10" s="24" t="s">
        <v>35</v>
      </c>
      <c r="C10" s="27" t="n">
        <v>162.75</v>
      </c>
      <c r="D10" s="33" t="n">
        <v>0</v>
      </c>
      <c r="E10" s="34" t="n">
        <v>0.0524636419104</v>
      </c>
      <c r="F10" s="35" t="n">
        <v>0.524636419104</v>
      </c>
      <c r="G10" s="35" t="n">
        <v>0.0969195270570864</v>
      </c>
      <c r="H10" s="24" t="s">
        <v>159</v>
      </c>
    </row>
    <row r="11" customFormat="false" ht="15" hidden="false" customHeight="true" outlineLevel="0" collapsed="false">
      <c r="A11" s="24" t="s">
        <v>161</v>
      </c>
      <c r="B11" s="24" t="s">
        <v>36</v>
      </c>
      <c r="C11" s="27" t="n">
        <v>135</v>
      </c>
      <c r="D11" s="33" t="n">
        <v>0</v>
      </c>
      <c r="E11" s="34" t="n">
        <v>0.0583685930448</v>
      </c>
      <c r="F11" s="35" t="n">
        <v>0.583685930448</v>
      </c>
      <c r="G11" s="35" t="n">
        <v>0.0867042326762406</v>
      </c>
      <c r="H11" s="24" t="s">
        <v>159</v>
      </c>
    </row>
    <row r="12" customFormat="false" ht="15" hidden="false" customHeight="true" outlineLevel="0" collapsed="false">
      <c r="A12" s="24" t="s">
        <v>162</v>
      </c>
      <c r="B12" s="24" t="s">
        <v>37</v>
      </c>
      <c r="C12" s="27" t="n">
        <v>132.75</v>
      </c>
      <c r="D12" s="33" t="n">
        <v>0</v>
      </c>
      <c r="E12" s="34" t="n">
        <v>0.063227164728</v>
      </c>
      <c r="F12" s="35" t="n">
        <v>0.632271647279999</v>
      </c>
      <c r="G12" s="35" t="n">
        <v>0.0752776056677419</v>
      </c>
      <c r="H12" s="24" t="s">
        <v>159</v>
      </c>
    </row>
    <row r="13" customFormat="false" ht="15" hidden="false" customHeight="true" outlineLevel="0" collapsed="false">
      <c r="A13" s="24" t="s">
        <v>163</v>
      </c>
      <c r="B13" s="24" t="s">
        <v>38</v>
      </c>
      <c r="C13" s="27" t="n">
        <v>106.845</v>
      </c>
      <c r="D13" s="33" t="n">
        <v>0</v>
      </c>
      <c r="E13" s="34" t="n">
        <v>0.03872839124</v>
      </c>
      <c r="F13" s="35" t="n">
        <v>0.3872839124</v>
      </c>
      <c r="G13" s="35" t="n">
        <v>0.0344209755419508</v>
      </c>
      <c r="H13" s="24" t="s">
        <v>159</v>
      </c>
    </row>
    <row r="14" customFormat="false" ht="15" hidden="false" customHeight="true" outlineLevel="0" collapsed="false">
      <c r="A14" s="24" t="s">
        <v>164</v>
      </c>
      <c r="B14" s="24" t="s">
        <v>39</v>
      </c>
      <c r="C14" s="27" t="n">
        <v>62.5</v>
      </c>
      <c r="D14" s="33" t="n">
        <v>0</v>
      </c>
      <c r="E14" s="34" t="n">
        <v>0.039960693612</v>
      </c>
      <c r="F14" s="35" t="n">
        <v>0.39960693612</v>
      </c>
      <c r="G14" s="35" t="n">
        <v>0.0201732078205659</v>
      </c>
      <c r="H14" s="24" t="s">
        <v>159</v>
      </c>
    </row>
    <row r="15" customFormat="false" ht="15" hidden="false" customHeight="true" outlineLevel="0" collapsed="false">
      <c r="A15" s="24" t="s">
        <v>165</v>
      </c>
      <c r="B15" s="24" t="s">
        <v>40</v>
      </c>
      <c r="C15" s="27" t="n">
        <v>9.17286922229476</v>
      </c>
      <c r="D15" s="33" t="n">
        <v>0</v>
      </c>
      <c r="E15" s="34" t="n">
        <v>0.033869381344</v>
      </c>
      <c r="F15" s="35" t="n">
        <v>0.0277363338930349</v>
      </c>
      <c r="G15" s="35" t="n">
        <v>0.0154932672555556</v>
      </c>
      <c r="H15" s="24" t="s">
        <v>159</v>
      </c>
    </row>
    <row r="16" customFormat="false" ht="15" hidden="false" customHeight="true" outlineLevel="0" collapsed="false">
      <c r="A16" s="24" t="s">
        <v>166</v>
      </c>
      <c r="B16" s="24" t="s">
        <v>41</v>
      </c>
      <c r="C16" s="27" t="n">
        <v>0</v>
      </c>
      <c r="D16" s="33" t="n">
        <v>-12310.5026106088</v>
      </c>
      <c r="E16" s="34" t="n">
        <v>0.027067661028</v>
      </c>
      <c r="F16" s="35" t="n">
        <v>0.0192183742804468</v>
      </c>
      <c r="G16" s="35" t="n">
        <v>0.27067661028</v>
      </c>
      <c r="H16" s="24" t="s">
        <v>167</v>
      </c>
    </row>
    <row r="17" customFormat="false" ht="15" hidden="false" customHeight="true" outlineLevel="0" collapsed="false">
      <c r="A17" s="24" t="s">
        <v>168</v>
      </c>
      <c r="B17" s="24" t="s">
        <v>42</v>
      </c>
      <c r="C17" s="27" t="n">
        <v>0</v>
      </c>
      <c r="D17" s="33" t="n">
        <v>-24264.6724714656</v>
      </c>
      <c r="E17" s="34" t="n">
        <v>0.0196589769</v>
      </c>
      <c r="F17" s="35" t="n">
        <v>0.0379440245315231</v>
      </c>
      <c r="G17" s="35" t="n">
        <v>0.196589769</v>
      </c>
      <c r="H17" s="24" t="s">
        <v>169</v>
      </c>
    </row>
    <row r="18" customFormat="false" ht="15" hidden="false" customHeight="true" outlineLevel="0" collapsed="false">
      <c r="A18" s="24" t="s">
        <v>170</v>
      </c>
      <c r="B18" s="24" t="s">
        <v>43</v>
      </c>
      <c r="C18" s="27" t="n">
        <v>0</v>
      </c>
      <c r="D18" s="33" t="n">
        <v>-37201.415469168</v>
      </c>
      <c r="E18" s="34" t="n">
        <v>0.00987210264</v>
      </c>
      <c r="F18" s="35" t="n">
        <v>0.0607798732645196</v>
      </c>
      <c r="G18" s="35" t="n">
        <v>0.0987210263999998</v>
      </c>
      <c r="H18" s="24" t="s">
        <v>171</v>
      </c>
    </row>
    <row r="21" customFormat="false" ht="15" hidden="false" customHeight="true" outlineLevel="0" collapsed="false">
      <c r="A21" s="10" t="s">
        <v>172</v>
      </c>
      <c r="B21" s="10"/>
      <c r="C21" s="10"/>
      <c r="D21" s="10"/>
      <c r="E21" s="10"/>
      <c r="F21" s="10"/>
      <c r="G21" s="10"/>
      <c r="H21" s="10"/>
    </row>
    <row r="22" customFormat="false" ht="15" hidden="false" customHeight="true" outlineLevel="0" collapsed="false">
      <c r="A22" s="32" t="s">
        <v>48</v>
      </c>
      <c r="B22" s="32" t="s">
        <v>173</v>
      </c>
      <c r="C22" s="32" t="s">
        <v>174</v>
      </c>
      <c r="D22" s="32" t="s">
        <v>175</v>
      </c>
      <c r="E22" s="32" t="s">
        <v>155</v>
      </c>
      <c r="F22" s="32" t="s">
        <v>156</v>
      </c>
      <c r="G22" s="32" t="s">
        <v>176</v>
      </c>
      <c r="H22" s="32" t="s">
        <v>157</v>
      </c>
    </row>
    <row r="23" customFormat="false" ht="15" hidden="false" customHeight="true" outlineLevel="0" collapsed="false">
      <c r="A23" s="24" t="s">
        <v>177</v>
      </c>
      <c r="B23" s="27" t="n">
        <v>0</v>
      </c>
      <c r="C23" s="33" t="n">
        <v>0.196372828788406</v>
      </c>
      <c r="D23" s="27" t="n">
        <v>0</v>
      </c>
      <c r="E23" s="27" t="n">
        <v>999.999999999999</v>
      </c>
      <c r="F23" s="27" t="n">
        <v>999.999999999999</v>
      </c>
      <c r="G23" s="24" t="s">
        <v>178</v>
      </c>
      <c r="H23" s="24" t="s">
        <v>179</v>
      </c>
    </row>
    <row r="24" customFormat="false" ht="15" hidden="false" customHeight="true" outlineLevel="0" collapsed="false">
      <c r="A24" s="24" t="s">
        <v>180</v>
      </c>
      <c r="B24" s="27" t="n">
        <v>162.75</v>
      </c>
      <c r="C24" s="33" t="n">
        <v>67633.4504856739</v>
      </c>
      <c r="D24" s="27" t="n">
        <v>162.75</v>
      </c>
      <c r="E24" s="27" t="n">
        <v>35.034391086158</v>
      </c>
      <c r="F24" s="27" t="n">
        <v>19.8288854499465</v>
      </c>
      <c r="G24" s="24" t="s">
        <v>178</v>
      </c>
      <c r="H24" s="24" t="s">
        <v>181</v>
      </c>
    </row>
    <row r="25" customFormat="false" ht="15" hidden="false" customHeight="true" outlineLevel="0" collapsed="false">
      <c r="A25" s="24" t="s">
        <v>182</v>
      </c>
      <c r="B25" s="27" t="n">
        <v>135</v>
      </c>
      <c r="C25" s="33" t="n">
        <v>63064.3236369637</v>
      </c>
      <c r="D25" s="27" t="n">
        <v>135</v>
      </c>
      <c r="E25" s="27" t="n">
        <v>42.3369042099133</v>
      </c>
      <c r="F25" s="27" t="n">
        <v>47.6554672621506</v>
      </c>
      <c r="G25" s="24" t="s">
        <v>178</v>
      </c>
      <c r="H25" s="24" t="s">
        <v>183</v>
      </c>
    </row>
    <row r="26" customFormat="false" ht="15" hidden="false" customHeight="true" outlineLevel="0" collapsed="false">
      <c r="A26" s="24" t="s">
        <v>184</v>
      </c>
      <c r="B26" s="27" t="n">
        <v>132.75</v>
      </c>
      <c r="C26" s="33" t="n">
        <v>54333.3432757233</v>
      </c>
      <c r="D26" s="27" t="n">
        <v>132.75</v>
      </c>
      <c r="E26" s="27" t="n">
        <v>57.8241033691618</v>
      </c>
      <c r="F26" s="27" t="n">
        <v>132.750000099999</v>
      </c>
      <c r="G26" s="24" t="s">
        <v>178</v>
      </c>
      <c r="H26" s="24" t="s">
        <v>185</v>
      </c>
    </row>
    <row r="27" customFormat="false" ht="15" hidden="false" customHeight="true" outlineLevel="0" collapsed="false">
      <c r="A27" s="24" t="s">
        <v>186</v>
      </c>
      <c r="B27" s="27" t="n">
        <v>106.845</v>
      </c>
      <c r="C27" s="33" t="n">
        <v>23807.1988915394</v>
      </c>
      <c r="D27" s="27" t="n">
        <v>106.845</v>
      </c>
      <c r="E27" s="27" t="n">
        <v>24.4099903717983</v>
      </c>
      <c r="F27" s="27" t="n">
        <v>70.0324596705862</v>
      </c>
      <c r="G27" s="24" t="s">
        <v>178</v>
      </c>
      <c r="H27" s="24" t="s">
        <v>187</v>
      </c>
    </row>
    <row r="28" customFormat="false" ht="15" hidden="false" customHeight="true" outlineLevel="0" collapsed="false">
      <c r="A28" s="24" t="s">
        <v>188</v>
      </c>
      <c r="B28" s="27" t="n">
        <v>62.5</v>
      </c>
      <c r="C28" s="33" t="n">
        <v>13507.1528550303</v>
      </c>
      <c r="D28" s="27" t="n">
        <v>62.5</v>
      </c>
      <c r="E28" s="27" t="n">
        <v>14.7949858870033</v>
      </c>
      <c r="F28" s="27" t="n">
        <v>42.6725090594795</v>
      </c>
      <c r="G28" s="24" t="s">
        <v>178</v>
      </c>
      <c r="H28" s="24" t="s">
        <v>189</v>
      </c>
    </row>
    <row r="29" customFormat="false" ht="15" hidden="false" customHeight="true" outlineLevel="0" collapsed="false">
      <c r="A29" s="24" t="s">
        <v>190</v>
      </c>
      <c r="B29" s="27" t="n">
        <v>-1.49011611938477E-008</v>
      </c>
      <c r="C29" s="33" t="n">
        <v>0.105167542795231</v>
      </c>
      <c r="D29" s="27" t="n">
        <v>0</v>
      </c>
      <c r="E29" s="27" t="n">
        <v>999.999999999999</v>
      </c>
      <c r="F29" s="27" t="n">
        <v>999.999999999999</v>
      </c>
      <c r="G29" s="24" t="s">
        <v>178</v>
      </c>
      <c r="H29" s="24" t="s">
        <v>191</v>
      </c>
    </row>
    <row r="30" customFormat="false" ht="15" hidden="false" customHeight="true" outlineLevel="0" collapsed="false">
      <c r="A30" s="24" t="s">
        <v>192</v>
      </c>
      <c r="B30" s="27" t="n">
        <v>258.467761717348</v>
      </c>
      <c r="C30" s="33" t="n">
        <v>0</v>
      </c>
      <c r="D30" s="27" t="n">
        <v>25000</v>
      </c>
      <c r="E30" s="27" t="s">
        <v>193</v>
      </c>
      <c r="F30" s="27" t="n">
        <v>24741.5322382827</v>
      </c>
      <c r="G30" s="24" t="s">
        <v>194</v>
      </c>
      <c r="H30" s="24"/>
    </row>
  </sheetData>
  <mergeCells count="3">
    <mergeCell ref="A1:H1"/>
    <mergeCell ref="A7:H7"/>
    <mergeCell ref="A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2026-05-14T13:31:38Z</dcterms:created>
  <dc:creator>openpyxl</dc:creator>
  <dc:description/>
  <dc:language>en-US</dc:language>
  <cp:lastModifiedBy/>
  <dcterms:modified xsi:type="dcterms:W3CDTF">2026-05-14T13:32:31Z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